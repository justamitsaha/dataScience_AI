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Amit\Work\code\AI\statictics\"/>
    </mc:Choice>
  </mc:AlternateContent>
  <xr:revisionPtr revIDLastSave="0" documentId="13_ncr:1_{796F40DA-C292-4CB9-B4F8-44252736E17F}" xr6:coauthVersionLast="47" xr6:coauthVersionMax="47" xr10:uidLastSave="{00000000-0000-0000-0000-000000000000}"/>
  <bookViews>
    <workbookView xWindow="-28920" yWindow="-120" windowWidth="29040" windowHeight="16440" activeTab="4" xr2:uid="{00000000-000D-0000-FFFF-FFFF00000000}"/>
  </bookViews>
  <sheets>
    <sheet name="T-Test" sheetId="1" r:id="rId1"/>
    <sheet name="Z-test" sheetId="2" r:id="rId2"/>
    <sheet name="Chi Square Test" sheetId="3" r:id="rId3"/>
    <sheet name="ANOVA" sheetId="4" r:id="rId4"/>
    <sheet name="Corelattion Test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5" l="1"/>
  <c r="B30" i="5"/>
  <c r="N28" i="3" l="1"/>
  <c r="N26" i="3"/>
  <c r="M22" i="3"/>
  <c r="N22" i="3"/>
  <c r="O22" i="3"/>
  <c r="N21" i="3"/>
  <c r="O21" i="3"/>
  <c r="M21" i="3"/>
  <c r="O18" i="3"/>
  <c r="N18" i="3"/>
  <c r="M18" i="3"/>
  <c r="O17" i="3"/>
  <c r="N17" i="3"/>
  <c r="M17" i="3"/>
  <c r="F16" i="2"/>
  <c r="E16" i="2"/>
  <c r="N5" i="1"/>
</calcChain>
</file>

<file path=xl/sharedStrings.xml><?xml version="1.0" encoding="utf-8"?>
<sst xmlns="http://schemas.openxmlformats.org/spreadsheetml/2006/main" count="243" uniqueCount="148">
  <si>
    <t>Age_F</t>
  </si>
  <si>
    <t>Age_M</t>
  </si>
  <si>
    <t>To determine weather the female population mean age is significantly greater than 30</t>
  </si>
  <si>
    <t>Hypothesis</t>
  </si>
  <si>
    <t>H0: Null hypotthesis: mean&lt;=30</t>
  </si>
  <si>
    <t>H1: Alternarte hypothesis: mean &gt;30</t>
  </si>
  <si>
    <t>Significance level 0.05</t>
  </si>
  <si>
    <t>if p&gt; 0.05 --&gt; Accept mull hypo</t>
  </si>
  <si>
    <t>else reject null</t>
  </si>
  <si>
    <t xml:space="preserve">Dummy 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</si>
  <si>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</si>
  <si>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</si>
  <si>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</si>
  <si>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</si>
  <si>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</si>
  <si>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</si>
  <si>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</si>
  <si>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</si>
  <si>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</si>
  <si>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</si>
  <si>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</si>
  <si>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</si>
  <si>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</si>
  <si>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One-Sample Assuming Unequal Variances</t>
  </si>
  <si>
    <t>H0: No significant difference between mean age of male and female</t>
  </si>
  <si>
    <t>H1:  Significant difference between mean age of male and female</t>
  </si>
  <si>
    <t>Z-test</t>
  </si>
  <si>
    <t>A Z-test is used to compare the mean of 2 given samples and infer weather they are from same distribution or not</t>
  </si>
  <si>
    <t>We don't implement Z-test when sample size is less that 30</t>
  </si>
  <si>
    <t>H0 : no significant differene between mean age of malers and females</t>
  </si>
  <si>
    <t>H1 : There is significant differene between mean age of malers and females</t>
  </si>
  <si>
    <t>Significance level:0.05</t>
  </si>
  <si>
    <t>Variance_female</t>
  </si>
  <si>
    <t>Variance_Male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</si>
  <si>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</si>
  <si>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</si>
  <si>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</si>
  <si>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</si>
  <si>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</si>
  <si>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</si>
  <si>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</si>
  <si>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T-Test</t>
  </si>
  <si>
    <t>Chi Square Test</t>
  </si>
  <si>
    <t>Gender</t>
  </si>
  <si>
    <t>Location</t>
  </si>
  <si>
    <t>Only for categorical data</t>
  </si>
  <si>
    <t>M</t>
  </si>
  <si>
    <t>F</t>
  </si>
  <si>
    <t>Japan</t>
  </si>
  <si>
    <t>India</t>
  </si>
  <si>
    <t>Korea</t>
  </si>
  <si>
    <t>H0: There is no association between gender &amp; locqtion</t>
  </si>
  <si>
    <t>H1: There is  association between gender &amp; locqtion</t>
  </si>
  <si>
    <t>if p&gt; 0.05 --&gt; Accept null hypo</t>
  </si>
  <si>
    <t>O Observerd values</t>
  </si>
  <si>
    <t>E Expected value</t>
  </si>
  <si>
    <t>Row Labels</t>
  </si>
  <si>
    <t>Grand Total</t>
  </si>
  <si>
    <t>Column Labels</t>
  </si>
  <si>
    <t>Count of Gender</t>
  </si>
  <si>
    <t>Expected values = (Row total *Column total)/Grand total</t>
  </si>
  <si>
    <t>Observed</t>
  </si>
  <si>
    <t>Row Total</t>
  </si>
  <si>
    <t>Expected</t>
  </si>
  <si>
    <t>Column  Total</t>
  </si>
  <si>
    <t>(O-E)^2/E</t>
  </si>
  <si>
    <t>p-value</t>
  </si>
  <si>
    <t>Sum of (O-E)^2/E or X^2 or Chi Square</t>
  </si>
  <si>
    <t>df or degree of freedom =  (ROW -1) * (COLUMN -1)</t>
  </si>
  <si>
    <t xml:space="preserve"> = 2*1</t>
  </si>
  <si>
    <t>ANOVA</t>
  </si>
  <si>
    <t>Cholesterol lowering drug and cholesterol level</t>
  </si>
  <si>
    <t>Goup A-0mg</t>
  </si>
  <si>
    <t>Goup B-50mg</t>
  </si>
  <si>
    <t>Goup C-100mg</t>
  </si>
  <si>
    <t>Analysis of variance</t>
  </si>
  <si>
    <t>A statistical method used to compare the means of two or more groups by analyzing the amount of variation within and between the groups</t>
  </si>
  <si>
    <t>It determines if there's a statistically significant difference in group means by calculating an F-statistic, which is the ratio of between-group variance to within-group variance</t>
  </si>
  <si>
    <t>If the F-statistic is significant (indicated by a low p-value), it suggests that the observed differences are unlikely due to random chance, and there is a real difference between the group means.</t>
  </si>
  <si>
    <t>It's a parametric test for hypothesis testing.</t>
  </si>
  <si>
    <t>1. Parametric Tests</t>
  </si>
  <si>
    <t>Advantage: More powerful when assumptions hold true.</t>
  </si>
  <si>
    <t>2. Non-Parametric Tests</t>
  </si>
  <si>
    <t>Useful when data is not normally distributed or when you deal with ranks/ordinal data.</t>
  </si>
  <si>
    <t>Advantage: Flexible, but often less powerful than parametric tests.</t>
  </si>
  <si>
    <t>🔹 Why is ANOVA Parametric?</t>
  </si>
  <si>
    <t>ANOVA assumes:</t>
  </si>
  <si>
    <t>1. Data is normally distributed.</t>
  </si>
  <si>
    <t>3. Observations are independent.</t>
  </si>
  <si>
    <t>Rely on assumptions about the population distribution.</t>
  </si>
  <si>
    <t>Usually assume the data is normally distributed and use population parameters like mean and variance.</t>
  </si>
  <si>
    <t>Examples: t-test, z-test, ANOVA.</t>
  </si>
  <si>
    <t>Do not rely on assumptions about the data distribution.</t>
  </si>
  <si>
    <t>Examples: Mann-Whitney U test, Kruskal-Wallis test.</t>
  </si>
  <si>
    <t>2. Variances across groups are equal (homogeneity of variance).</t>
  </si>
  <si>
    <t>Since it depends on distributional assumptions (like mean and variance), ANOVA is a parametric test.</t>
  </si>
  <si>
    <t>HO: mean1=mean2=mean3, no significance difference in mean value of cholesterol level</t>
  </si>
  <si>
    <t>H1: means aren't equal</t>
  </si>
  <si>
    <t>SS</t>
  </si>
  <si>
    <t>Degree of freedom(df):</t>
  </si>
  <si>
    <r>
      <rPr>
        <sz val="11"/>
        <color rgb="FFFF0000"/>
        <rFont val="Calibri"/>
        <family val="2"/>
        <scheme val="minor"/>
      </rPr>
      <t xml:space="preserve">Sum of Squares (SS) </t>
    </r>
    <r>
      <rPr>
        <sz val="11"/>
        <color theme="1"/>
        <rFont val="Calibri"/>
        <family val="2"/>
        <scheme val="minor"/>
      </rPr>
      <t>quantifies the variability within the group</t>
    </r>
  </si>
  <si>
    <r>
      <t xml:space="preserve">df(between the group): </t>
    </r>
    <r>
      <rPr>
        <sz val="11"/>
        <color rgb="FF00B050"/>
        <rFont val="Calibri"/>
        <family val="2"/>
        <scheme val="minor"/>
      </rPr>
      <t>no of group -1</t>
    </r>
  </si>
  <si>
    <r>
      <t xml:space="preserve">df(within group): </t>
    </r>
    <r>
      <rPr>
        <sz val="11"/>
        <color rgb="FF00B050"/>
        <rFont val="Calibri"/>
        <family val="2"/>
        <scheme val="minor"/>
      </rPr>
      <t>no of observation - no of group</t>
    </r>
  </si>
  <si>
    <t>Mean Square(MS):</t>
  </si>
  <si>
    <t xml:space="preserve">Average variation either between groups or within groups. </t>
  </si>
  <si>
    <t>MS=SS/df</t>
  </si>
  <si>
    <r>
      <rPr>
        <sz val="11"/>
        <color rgb="FFFF0000"/>
        <rFont val="Calibri"/>
        <family val="2"/>
        <scheme val="minor"/>
      </rPr>
      <t>F-Statistics</t>
    </r>
    <r>
      <rPr>
        <sz val="11"/>
        <color theme="1"/>
        <rFont val="Calibri"/>
        <family val="2"/>
        <scheme val="minor"/>
      </rPr>
      <t xml:space="preserve"> It is the test statistics in one way Anova.</t>
    </r>
  </si>
  <si>
    <t>F= MS(Beetween groups)/MS(Within groups)</t>
  </si>
  <si>
    <t>if p-value &gt; significance value --&gt; We accept hypothesis</t>
  </si>
  <si>
    <t>Anova: Single Factor</t>
  </si>
  <si>
    <t>SUMMARY</t>
  </si>
  <si>
    <t>Groups</t>
  </si>
  <si>
    <t>Count</t>
  </si>
  <si>
    <t>Sum</t>
  </si>
  <si>
    <t>Average</t>
  </si>
  <si>
    <t>Source of Variation</t>
  </si>
  <si>
    <t>MS</t>
  </si>
  <si>
    <t>P-value</t>
  </si>
  <si>
    <t>F crit</t>
  </si>
  <si>
    <t>Between Groups</t>
  </si>
  <si>
    <t>Within Groups</t>
  </si>
  <si>
    <t>Total</t>
  </si>
  <si>
    <t>Else we reject</t>
  </si>
  <si>
    <t>Corelattion Test</t>
  </si>
  <si>
    <t>Height</t>
  </si>
  <si>
    <t>Weight</t>
  </si>
  <si>
    <t>Age</t>
  </si>
  <si>
    <t>Salary</t>
  </si>
  <si>
    <t>Covariance</t>
  </si>
  <si>
    <t>Definition: Measures how two variables vary together.</t>
  </si>
  <si>
    <t>Range: From −∞ to +∞ (no fixed scale).</t>
  </si>
  <si>
    <t>Interpretation:</t>
  </si>
  <si>
    <t>Positive covariance → when one variable increases, the other also tends to increase.</t>
  </si>
  <si>
    <t>Negative covariance → when one variable increases, the other tends to decrease.</t>
  </si>
  <si>
    <t>Problem: The magnitude is hard to interpret because it depends on the units of the variables (e.g., cm, kg, dollars).</t>
  </si>
  <si>
    <t>🔹 Correlation</t>
  </si>
  <si>
    <t>Definition: A standardized version of covariance that removes the scale/unit problem.</t>
  </si>
  <si>
    <t>Range: Always between −1 and +1.</t>
  </si>
  <si>
    <t>+1 → Perfect positive linear relationship (as one increases, the other increases exactly).</t>
  </si>
  <si>
    <t>0 → No linear relationship.</t>
  </si>
  <si>
    <t>−1 → Perfect negative linear relationship (as one increases, the other decreases exactly).</t>
  </si>
  <si>
    <t>Magnitude matters:</t>
  </si>
  <si>
    <t>Closer to ±1 → stronger relationship.</t>
  </si>
  <si>
    <t>Closer to 0 → weaker relationship.</t>
  </si>
  <si>
    <t>Key Difference</t>
  </si>
  <si>
    <t>Covariance just tells you the direction of the relationship (positive/negative).</t>
  </si>
  <si>
    <t>Correlation tells you both the direction and the strength of the relationship, on a fixed scale (−1 to 1).</t>
  </si>
  <si>
    <t>frrom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</si>
</sst>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1" fillId="2" borderId="0" xfId="1"/>
    <xf numFmtId="0" fontId="2" fillId="3" borderId="0" xfId="2" applyBorder="1" applyAlignment="1"/>
    <xf numFmtId="0" fontId="2" fillId="3" borderId="0" xfId="2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7" fillId="6" borderId="4" xfId="0" applyFont="1" applyFill="1" applyBorder="1"/>
    <xf numFmtId="0" fontId="7" fillId="6" borderId="5" xfId="0" applyFont="1" applyFill="1" applyBorder="1" applyAlignment="1">
      <alignment horizontal="left"/>
    </xf>
    <xf numFmtId="0" fontId="7" fillId="6" borderId="5" xfId="0" applyFont="1" applyFill="1" applyBorder="1"/>
    <xf numFmtId="0" fontId="4" fillId="5" borderId="1" xfId="4" applyBorder="1"/>
    <xf numFmtId="0" fontId="6" fillId="0" borderId="0" xfId="0" applyFont="1"/>
    <xf numFmtId="0" fontId="5" fillId="4" borderId="0" xfId="3"/>
    <xf numFmtId="0" fontId="5" fillId="4" borderId="0" xfId="3" applyBorder="1" applyAlignment="1"/>
    <xf numFmtId="0" fontId="4" fillId="5" borderId="6" xfId="4" applyBorder="1" applyAlignment="1">
      <alignment horizontal="center"/>
    </xf>
    <xf numFmtId="0" fontId="4" fillId="5" borderId="7" xfId="4" applyBorder="1" applyAlignment="1">
      <alignment horizontal="center"/>
    </xf>
    <xf numFmtId="0" fontId="4" fillId="5" borderId="8" xfId="4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</cellXfs>
  <cellStyles count="5">
    <cellStyle name="60% - Accent2" xfId="4" builtinId="36"/>
    <cellStyle name="Accent1" xfId="2" builtinId="29"/>
    <cellStyle name="Bad" xfId="3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Weight vs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'Corelattion Test'!$C$3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'Corelattion Test'!$B$4:$B$13</c:f>
              <c:numCache>
                <c:formatCode>General</c:formatCode>
                <c:ptCount val="10"/>
                <c:pt idx="0">
                  <c:v>171</c:v>
                </c:pt>
                <c:pt idx="1">
                  <c:v>170</c:v>
                </c:pt>
                <c:pt idx="2">
                  <c:v>165</c:v>
                </c:pt>
                <c:pt idx="3">
                  <c:v>180</c:v>
                </c:pt>
                <c:pt idx="4">
                  <c:v>182</c:v>
                </c:pt>
                <c:pt idx="5">
                  <c:v>172</c:v>
                </c:pt>
                <c:pt idx="6">
                  <c:v>156</c:v>
                </c:pt>
                <c:pt idx="7">
                  <c:v>140</c:v>
                </c:pt>
                <c:pt idx="8">
                  <c:v>180</c:v>
                </c:pt>
                <c:pt idx="9">
                  <c:v>170</c:v>
                </c:pt>
              </c:numCache>
            </c:numRef>
          </c:xVal>
          <c:yVal>
            <c:numRef>
              <c:f>'Corelattion Test'!$C$4:$C$13</c:f>
              <c:numCache>
                <c:formatCode>General</c:formatCode>
                <c:ptCount val="10"/>
                <c:pt idx="0">
                  <c:v>80</c:v>
                </c:pt>
                <c:pt idx="1">
                  <c:v>80</c:v>
                </c:pt>
                <c:pt idx="2">
                  <c:v>70</c:v>
                </c:pt>
                <c:pt idx="3">
                  <c:v>91</c:v>
                </c:pt>
                <c:pt idx="4">
                  <c:v>92</c:v>
                </c:pt>
                <c:pt idx="5">
                  <c:v>81</c:v>
                </c:pt>
                <c:pt idx="6">
                  <c:v>65</c:v>
                </c:pt>
                <c:pt idx="7">
                  <c:v>61</c:v>
                </c:pt>
                <c:pt idx="8">
                  <c:v>91</c:v>
                </c:pt>
                <c:pt idx="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C-4EDE-A235-7653072A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537744"/>
        <c:axId val="530538704"/>
      </c:scatterChart>
      <c:valAx>
        <c:axId val="53053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38704"/>
        <c:crosses val="autoZero"/>
        <c:crossBetween val="midCat"/>
      </c:valAx>
      <c:valAx>
        <c:axId val="5305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3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vs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'Corelattion Test'!$F$3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'Corelattion Test'!$E$4:$E$13</c:f>
              <c:numCache>
                <c:formatCode>General</c:formatCode>
                <c:ptCount val="10"/>
                <c:pt idx="0">
                  <c:v>23</c:v>
                </c:pt>
                <c:pt idx="1">
                  <c:v>24</c:v>
                </c:pt>
                <c:pt idx="2">
                  <c:v>31</c:v>
                </c:pt>
                <c:pt idx="3">
                  <c:v>34</c:v>
                </c:pt>
                <c:pt idx="4">
                  <c:v>24</c:v>
                </c:pt>
                <c:pt idx="5">
                  <c:v>22</c:v>
                </c:pt>
                <c:pt idx="6">
                  <c:v>35</c:v>
                </c:pt>
                <c:pt idx="7">
                  <c:v>27</c:v>
                </c:pt>
                <c:pt idx="8">
                  <c:v>21</c:v>
                </c:pt>
                <c:pt idx="9">
                  <c:v>39</c:v>
                </c:pt>
              </c:numCache>
            </c:numRef>
          </c:xVal>
          <c:yVal>
            <c:numRef>
              <c:f>'Corelattion Test'!$F$4:$F$13</c:f>
              <c:numCache>
                <c:formatCode>General</c:formatCode>
                <c:ptCount val="10"/>
                <c:pt idx="0">
                  <c:v>10200</c:v>
                </c:pt>
                <c:pt idx="1">
                  <c:v>18000</c:v>
                </c:pt>
                <c:pt idx="2">
                  <c:v>45000</c:v>
                </c:pt>
                <c:pt idx="3">
                  <c:v>80000</c:v>
                </c:pt>
                <c:pt idx="4">
                  <c:v>12000</c:v>
                </c:pt>
                <c:pt idx="5">
                  <c:v>8000</c:v>
                </c:pt>
                <c:pt idx="6">
                  <c:v>92000</c:v>
                </c:pt>
                <c:pt idx="7">
                  <c:v>20000</c:v>
                </c:pt>
                <c:pt idx="8">
                  <c:v>12000</c:v>
                </c:pt>
                <c:pt idx="9">
                  <c:v>140000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9-4841-977B-ADFFC5AC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22079"/>
        <c:axId val="836617759"/>
      </c:scatterChart>
      <c:valAx>
        <c:axId val="83662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17759"/>
        <c:crosses val="autoZero"/>
        <c:crossBetween val="midCat"/>
      </c:valAx>
      <c:valAx>
        <c:axId val="8366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2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25</xdr:row>
      <xdr:rowOff>104775</xdr:rowOff>
    </xdr:from>
    <xdr:to>
      <xdr:col>3</xdr:col>
      <xdr:colOff>229</xdr:colOff>
      <xdr:row>28</xdr:row>
      <xdr:rowOff>104855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1AC33-9D71-A54B-615F-29E0F67BF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867275"/>
          <a:ext cx="1638529" cy="571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381000</xdr:colOff>
      <xdr:row>0</xdr:row>
      <xdr:rowOff>57150</xdr:rowOff>
    </xdr:from>
    <xdr:to>
      <xdr:col>25</xdr:col>
      <xdr:colOff>47625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A666EC-93FA-13AD-57D3-DB18CF6F6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400050</xdr:colOff>
      <xdr:row>13</xdr:row>
      <xdr:rowOff>95250</xdr:rowOff>
    </xdr:from>
    <xdr:to>
      <xdr:col>25</xdr:col>
      <xdr:colOff>28576</xdr:colOff>
      <xdr:row>25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69CEA2-69AB-9CF7-94E0-480E4645C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aha" refreshedDate="45892.483917939811" createdVersion="8" refreshedVersion="8" minRefreshableVersion="3" recordCount="20" xr:uid="{EBC09394-8411-4C94-8D14-CD82AC585F62}">
  <cacheSource type="worksheet">
    <worksheetSource ref="B3:C23" sheet="Chi Square Test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Japan"/>
        <s v="India"/>
        <s v="Ko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87417-13F9-40B0-A35F-0EEA72D6C8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P7" firstHeaderRow="1" firstDataRow="2" firstDataCol="1"/>
  <pivotFields count="2">
    <pivotField axis="axisRow" dataField="1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4"/>
  <sheetViews>
    <sheetView workbookViewId="0">
      <selection activeCell="B20" sqref="B20"/>
    </sheetView>
  </sheetViews>
  <sheetFormatPr defaultRowHeight="15" x14ac:dyDescent="0.25"/>
  <cols>
    <col min="13" max="13" width="45.140625" bestFit="1" customWidth="1"/>
    <col min="14" max="14" width="12.7109375" bestFit="1" customWidth="1"/>
  </cols>
  <sheetData>
    <row r="1" spans="2:14" ht="31.5" x14ac:dyDescent="0.5">
      <c r="B1" s="8" t="s">
        <v>41</v>
      </c>
    </row>
    <row r="3" spans="2:14" x14ac:dyDescent="0.25">
      <c r="B3" s="1" t="s">
        <v>0</v>
      </c>
      <c r="C3" s="1" t="s">
        <v>1</v>
      </c>
      <c r="D3" s="1" t="s">
        <v>9</v>
      </c>
      <c r="M3" t="s">
        <v>23</v>
      </c>
    </row>
    <row r="4" spans="2:14" ht="15.75" thickBot="1" x14ac:dyDescent="0.3">
      <c r="B4" s="1">
        <v>25</v>
      </c>
      <c r="C4" s="1">
        <v>23</v>
      </c>
      <c r="D4" s="1">
        <v>0</v>
      </c>
    </row>
    <row r="5" spans="2:14" x14ac:dyDescent="0.25">
      <c r="B5" s="1">
        <v>29</v>
      </c>
      <c r="C5" s="1">
        <v>24</v>
      </c>
      <c r="D5" s="1">
        <v>0</v>
      </c>
      <c r="M5" s="3"/>
      <c r="N5" s="3" t="str">
        <f>B3</f>
        <v>Age_F</v>
      </c>
    </row>
    <row r="6" spans="2:14" x14ac:dyDescent="0.25">
      <c r="B6" s="1">
        <v>24</v>
      </c>
      <c r="C6" s="1">
        <v>23</v>
      </c>
      <c r="D6" s="1"/>
      <c r="M6" t="s">
        <v>13</v>
      </c>
      <c r="N6">
        <v>28.2</v>
      </c>
    </row>
    <row r="7" spans="2:14" x14ac:dyDescent="0.25">
      <c r="B7" s="1">
        <v>25</v>
      </c>
      <c r="C7" s="1">
        <v>22</v>
      </c>
      <c r="D7" s="1"/>
      <c r="M7" t="s">
        <v>14</v>
      </c>
      <c r="N7">
        <v>9.9555555555555966</v>
      </c>
    </row>
    <row r="8" spans="2:14" x14ac:dyDescent="0.25">
      <c r="B8" s="1">
        <v>31</v>
      </c>
      <c r="C8" s="1">
        <v>21</v>
      </c>
      <c r="D8" s="1"/>
      <c r="M8" t="s">
        <v>15</v>
      </c>
      <c r="N8">
        <v>10</v>
      </c>
    </row>
    <row r="9" spans="2:14" x14ac:dyDescent="0.25">
      <c r="B9" s="1">
        <v>32</v>
      </c>
      <c r="C9" s="1">
        <v>30</v>
      </c>
      <c r="D9" s="1"/>
      <c r="M9" t="s">
        <v>16</v>
      </c>
      <c r="N9">
        <v>30</v>
      </c>
    </row>
    <row r="10" spans="2:14" x14ac:dyDescent="0.25">
      <c r="B10" s="1">
        <v>30</v>
      </c>
      <c r="C10" s="1">
        <v>32</v>
      </c>
      <c r="D10" s="1"/>
      <c r="M10" t="s">
        <v>17</v>
      </c>
      <c r="N10">
        <v>9</v>
      </c>
    </row>
    <row r="11" spans="2:14" x14ac:dyDescent="0.25">
      <c r="B11" s="1">
        <v>32</v>
      </c>
      <c r="C11" s="1">
        <v>27</v>
      </c>
      <c r="D11" s="1"/>
      <c r="M11" t="s">
        <v>18</v>
      </c>
      <c r="N11">
        <v>-1.8040133829088616</v>
      </c>
    </row>
    <row r="12" spans="2:14" x14ac:dyDescent="0.25">
      <c r="B12" s="1">
        <v>29</v>
      </c>
      <c r="C12" s="1">
        <v>28</v>
      </c>
      <c r="D12" s="1"/>
      <c r="M12" s="5" t="s">
        <v>19</v>
      </c>
      <c r="N12" s="5">
        <v>5.2361597972349849E-2</v>
      </c>
    </row>
    <row r="13" spans="2:14" x14ac:dyDescent="0.25">
      <c r="B13" s="1">
        <v>25</v>
      </c>
      <c r="C13" s="1">
        <v>29</v>
      </c>
      <c r="D13" s="1"/>
      <c r="M13" t="s">
        <v>20</v>
      </c>
      <c r="N13">
        <v>1.8331129326562374</v>
      </c>
    </row>
    <row r="14" spans="2:14" x14ac:dyDescent="0.25">
      <c r="M14" t="s">
        <v>21</v>
      </c>
      <c r="N14">
        <v>0.1047231959446997</v>
      </c>
    </row>
    <row r="15" spans="2:14" ht="15.75" thickBot="1" x14ac:dyDescent="0.3">
      <c r="B15" t="s">
        <v>2</v>
      </c>
      <c r="M15" s="2" t="s">
        <v>22</v>
      </c>
      <c r="N15" s="2">
        <v>2.2621571627982053</v>
      </c>
    </row>
    <row r="16" spans="2:14" x14ac:dyDescent="0.25">
      <c r="B16" t="s">
        <v>3</v>
      </c>
    </row>
    <row r="17" spans="2:15" x14ac:dyDescent="0.25">
      <c r="B17" t="s">
        <v>4</v>
      </c>
    </row>
    <row r="18" spans="2:15" x14ac:dyDescent="0.25">
      <c r="B18" t="s">
        <v>5</v>
      </c>
    </row>
    <row r="20" spans="2:15" x14ac:dyDescent="0.25">
      <c r="B20" t="s">
        <v>6</v>
      </c>
    </row>
    <row r="22" spans="2:15" x14ac:dyDescent="0.25">
      <c r="B22" s="4" t="s">
        <v>7</v>
      </c>
      <c r="M22" t="s">
        <v>10</v>
      </c>
    </row>
    <row r="23" spans="2:15" ht="15.75" thickBot="1" x14ac:dyDescent="0.3">
      <c r="B23" t="s">
        <v>8</v>
      </c>
    </row>
    <row r="24" spans="2:15" x14ac:dyDescent="0.25">
      <c r="M24" s="3"/>
      <c r="N24" s="3" t="s">
        <v>11</v>
      </c>
      <c r="O24" s="3" t="s">
        <v>12</v>
      </c>
    </row>
    <row r="25" spans="2:15" x14ac:dyDescent="0.25">
      <c r="B25" s="4" t="s">
        <v>24</v>
      </c>
      <c r="C25" s="4"/>
      <c r="D25" s="4"/>
      <c r="E25" s="4"/>
      <c r="F25" s="4"/>
      <c r="G25" s="4"/>
      <c r="H25" s="4"/>
      <c r="M25" t="s">
        <v>13</v>
      </c>
      <c r="N25">
        <v>28.2</v>
      </c>
      <c r="O25">
        <v>25.9</v>
      </c>
    </row>
    <row r="26" spans="2:15" x14ac:dyDescent="0.25">
      <c r="B26" t="s">
        <v>25</v>
      </c>
      <c r="M26" t="s">
        <v>14</v>
      </c>
      <c r="N26">
        <v>9.9555555555555966</v>
      </c>
      <c r="O26">
        <v>14.322222222222182</v>
      </c>
    </row>
    <row r="27" spans="2:15" x14ac:dyDescent="0.25">
      <c r="M27" t="s">
        <v>15</v>
      </c>
      <c r="N27">
        <v>10</v>
      </c>
      <c r="O27">
        <v>10</v>
      </c>
    </row>
    <row r="28" spans="2:15" x14ac:dyDescent="0.25">
      <c r="M28" t="s">
        <v>16</v>
      </c>
      <c r="N28">
        <v>0</v>
      </c>
    </row>
    <row r="29" spans="2:15" x14ac:dyDescent="0.25">
      <c r="M29" t="s">
        <v>17</v>
      </c>
      <c r="N29">
        <v>17</v>
      </c>
    </row>
    <row r="30" spans="2:15" x14ac:dyDescent="0.25">
      <c r="M30" t="s">
        <v>18</v>
      </c>
      <c r="N30">
        <v>1.476125796949926</v>
      </c>
    </row>
    <row r="31" spans="2:15" x14ac:dyDescent="0.25">
      <c r="M31" s="5" t="s">
        <v>19</v>
      </c>
      <c r="N31" s="5">
        <v>7.9096562270934409E-2</v>
      </c>
    </row>
    <row r="32" spans="2:15" x14ac:dyDescent="0.25">
      <c r="M32" t="s">
        <v>20</v>
      </c>
      <c r="N32">
        <v>1.7396067260750732</v>
      </c>
    </row>
    <row r="33" spans="13:15" x14ac:dyDescent="0.25">
      <c r="M33" t="s">
        <v>21</v>
      </c>
      <c r="N33">
        <v>0.15819312454186882</v>
      </c>
    </row>
    <row r="34" spans="13:15" ht="15.75" thickBot="1" x14ac:dyDescent="0.3">
      <c r="M34" s="2" t="s">
        <v>22</v>
      </c>
      <c r="N34" s="2">
        <v>2.109815577833317</v>
      </c>
      <c r="O3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CF9A-A002-48C8-82AF-A5FCFAC75FAE}">
  <dimension ref="B1:S16"/>
  <sheetViews>
    <sheetView workbookViewId="0">
      <selection activeCell="E11" sqref="E11:E12"/>
    </sheetView>
  </sheetViews>
  <sheetFormatPr defaultRowHeight="15" x14ac:dyDescent="0.25"/>
  <cols>
    <col min="5" max="5" width="15.85546875" customWidth="1"/>
    <col min="6" max="6" width="14.28515625" bestFit="1" customWidth="1"/>
    <col min="17" max="17" width="29" bestFit="1" customWidth="1"/>
    <col min="18" max="19" width="12" bestFit="1" customWidth="1"/>
  </cols>
  <sheetData>
    <row r="1" spans="2:19" ht="26.25" x14ac:dyDescent="0.4">
      <c r="B1" s="7" t="s">
        <v>26</v>
      </c>
    </row>
    <row r="3" spans="2:19" x14ac:dyDescent="0.25">
      <c r="B3" s="1" t="s">
        <v>0</v>
      </c>
      <c r="C3" s="1" t="s">
        <v>1</v>
      </c>
      <c r="E3" t="s">
        <v>27</v>
      </c>
    </row>
    <row r="4" spans="2:19" x14ac:dyDescent="0.25">
      <c r="B4" s="1">
        <v>25</v>
      </c>
      <c r="C4" s="1">
        <v>23</v>
      </c>
      <c r="E4" t="s">
        <v>28</v>
      </c>
      <c r="Q4" t="s">
        <v>34</v>
      </c>
    </row>
    <row r="5" spans="2:19" ht="15.75" thickBot="1" x14ac:dyDescent="0.3">
      <c r="B5" s="1">
        <v>29</v>
      </c>
      <c r="C5" s="1">
        <v>24</v>
      </c>
    </row>
    <row r="6" spans="2:19" x14ac:dyDescent="0.25">
      <c r="B6" s="1">
        <v>24</v>
      </c>
      <c r="C6" s="1">
        <v>23</v>
      </c>
      <c r="E6" s="4" t="s">
        <v>29</v>
      </c>
      <c r="F6" s="4"/>
      <c r="G6" s="4"/>
      <c r="H6" s="4"/>
      <c r="I6" s="4"/>
      <c r="J6" s="4"/>
      <c r="Q6" s="3"/>
      <c r="R6" s="3">
        <v>25</v>
      </c>
      <c r="S6" s="3">
        <v>23</v>
      </c>
    </row>
    <row r="7" spans="2:19" x14ac:dyDescent="0.25">
      <c r="B7" s="1">
        <v>25</v>
      </c>
      <c r="C7" s="1">
        <v>22</v>
      </c>
      <c r="E7" t="s">
        <v>30</v>
      </c>
      <c r="Q7" t="s">
        <v>13</v>
      </c>
      <c r="R7">
        <v>28.555555555555557</v>
      </c>
      <c r="S7">
        <v>26.222222222222221</v>
      </c>
    </row>
    <row r="8" spans="2:19" x14ac:dyDescent="0.25">
      <c r="B8" s="1">
        <v>31</v>
      </c>
      <c r="C8" s="1">
        <v>21</v>
      </c>
      <c r="Q8" t="s">
        <v>35</v>
      </c>
      <c r="R8">
        <v>9.9499999999999993</v>
      </c>
      <c r="S8">
        <v>14.32</v>
      </c>
    </row>
    <row r="9" spans="2:19" x14ac:dyDescent="0.25">
      <c r="B9" s="1">
        <v>32</v>
      </c>
      <c r="C9" s="1">
        <v>30</v>
      </c>
      <c r="E9" t="s">
        <v>31</v>
      </c>
      <c r="Q9" t="s">
        <v>15</v>
      </c>
      <c r="R9">
        <v>9</v>
      </c>
      <c r="S9">
        <v>9</v>
      </c>
    </row>
    <row r="10" spans="2:19" x14ac:dyDescent="0.25">
      <c r="B10" s="1">
        <v>30</v>
      </c>
      <c r="C10" s="1">
        <v>32</v>
      </c>
      <c r="Q10" t="s">
        <v>16</v>
      </c>
      <c r="R10">
        <v>0</v>
      </c>
    </row>
    <row r="11" spans="2:19" x14ac:dyDescent="0.25">
      <c r="B11" s="1">
        <v>32</v>
      </c>
      <c r="C11" s="1">
        <v>27</v>
      </c>
      <c r="E11" t="s">
        <v>53</v>
      </c>
      <c r="Q11" t="s">
        <v>36</v>
      </c>
      <c r="R11">
        <v>1.4208988142937833</v>
      </c>
    </row>
    <row r="12" spans="2:19" x14ac:dyDescent="0.25">
      <c r="B12" s="1">
        <v>29</v>
      </c>
      <c r="C12" s="1">
        <v>28</v>
      </c>
      <c r="E12" t="s">
        <v>8</v>
      </c>
      <c r="Q12" s="6" t="s">
        <v>37</v>
      </c>
      <c r="R12" s="6">
        <v>7.7673088881394459E-2</v>
      </c>
    </row>
    <row r="13" spans="2:19" x14ac:dyDescent="0.25">
      <c r="B13" s="1">
        <v>25</v>
      </c>
      <c r="C13" s="1">
        <v>29</v>
      </c>
      <c r="Q13" t="s">
        <v>38</v>
      </c>
      <c r="R13">
        <v>1.6448536269514715</v>
      </c>
    </row>
    <row r="14" spans="2:19" x14ac:dyDescent="0.25">
      <c r="Q14" s="6" t="s">
        <v>39</v>
      </c>
      <c r="R14" s="6">
        <v>0.15534617776278892</v>
      </c>
    </row>
    <row r="15" spans="2:19" ht="15.75" thickBot="1" x14ac:dyDescent="0.3">
      <c r="E15" t="s">
        <v>32</v>
      </c>
      <c r="F15" t="s">
        <v>33</v>
      </c>
      <c r="Q15" s="2" t="s">
        <v>40</v>
      </c>
      <c r="R15" s="2">
        <v>1.9599639845400536</v>
      </c>
      <c r="S15" s="2"/>
    </row>
    <row r="16" spans="2:19" x14ac:dyDescent="0.25">
      <c r="E16">
        <f>_xlfn.VAR.S(B4:B13)</f>
        <v>9.9555555555555966</v>
      </c>
      <c r="F16">
        <f>_xlfn.VAR.S(C4:C13)</f>
        <v>14.322222222222182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FA08-26D6-4BBA-AE1B-0B735694253D}">
  <dimension ref="B1:Q28"/>
  <sheetViews>
    <sheetView workbookViewId="0">
      <selection activeCell="N28" sqref="N28"/>
    </sheetView>
  </sheetViews>
  <sheetFormatPr defaultRowHeight="15" x14ac:dyDescent="0.25"/>
  <cols>
    <col min="11" max="11" width="16.140625" bestFit="1" customWidth="1"/>
    <col min="12" max="12" width="15.85546875" bestFit="1" customWidth="1"/>
    <col min="13" max="13" width="16.28515625" bestFit="1" customWidth="1"/>
    <col min="14" max="14" width="13.5703125" customWidth="1"/>
    <col min="15" max="15" width="6.140625" bestFit="1" customWidth="1"/>
    <col min="16" max="17" width="11.28515625" bestFit="1" customWidth="1"/>
  </cols>
  <sheetData>
    <row r="1" spans="2:17" x14ac:dyDescent="0.25">
      <c r="B1" t="s">
        <v>42</v>
      </c>
    </row>
    <row r="2" spans="2:17" x14ac:dyDescent="0.25">
      <c r="B2" t="s">
        <v>45</v>
      </c>
    </row>
    <row r="3" spans="2:17" x14ac:dyDescent="0.25">
      <c r="B3" s="9" t="s">
        <v>43</v>
      </c>
      <c r="C3" s="9" t="s">
        <v>44</v>
      </c>
      <c r="E3" s="4" t="s">
        <v>51</v>
      </c>
      <c r="F3" s="4"/>
      <c r="G3" s="4"/>
      <c r="H3" s="4"/>
      <c r="I3" s="4"/>
      <c r="J3" s="4"/>
      <c r="L3" s="10" t="s">
        <v>59</v>
      </c>
      <c r="M3" s="10" t="s">
        <v>58</v>
      </c>
    </row>
    <row r="4" spans="2:17" x14ac:dyDescent="0.25">
      <c r="B4" s="1" t="s">
        <v>46</v>
      </c>
      <c r="C4" s="1" t="s">
        <v>48</v>
      </c>
      <c r="E4" t="s">
        <v>52</v>
      </c>
      <c r="L4" s="10" t="s">
        <v>56</v>
      </c>
      <c r="M4" t="s">
        <v>49</v>
      </c>
      <c r="N4" t="s">
        <v>48</v>
      </c>
      <c r="O4" t="s">
        <v>50</v>
      </c>
      <c r="P4" t="s">
        <v>57</v>
      </c>
    </row>
    <row r="5" spans="2:17" x14ac:dyDescent="0.25">
      <c r="B5" s="1" t="s">
        <v>47</v>
      </c>
      <c r="C5" s="1" t="s">
        <v>49</v>
      </c>
      <c r="L5" s="11" t="s">
        <v>47</v>
      </c>
      <c r="M5">
        <v>6</v>
      </c>
      <c r="N5">
        <v>6</v>
      </c>
      <c r="P5">
        <v>12</v>
      </c>
    </row>
    <row r="6" spans="2:17" x14ac:dyDescent="0.25">
      <c r="B6" s="1" t="s">
        <v>47</v>
      </c>
      <c r="C6" s="1" t="s">
        <v>48</v>
      </c>
      <c r="E6" s="4" t="s">
        <v>53</v>
      </c>
      <c r="F6" s="4"/>
      <c r="G6" s="4"/>
      <c r="L6" s="11" t="s">
        <v>46</v>
      </c>
      <c r="M6">
        <v>2</v>
      </c>
      <c r="N6">
        <v>2</v>
      </c>
      <c r="O6">
        <v>4</v>
      </c>
      <c r="P6">
        <v>8</v>
      </c>
    </row>
    <row r="7" spans="2:17" x14ac:dyDescent="0.25">
      <c r="B7" s="1" t="s">
        <v>47</v>
      </c>
      <c r="C7" s="1" t="s">
        <v>48</v>
      </c>
      <c r="E7" t="s">
        <v>8</v>
      </c>
      <c r="L7" s="11" t="s">
        <v>57</v>
      </c>
      <c r="M7">
        <v>8</v>
      </c>
      <c r="N7">
        <v>8</v>
      </c>
      <c r="O7">
        <v>4</v>
      </c>
      <c r="P7">
        <v>20</v>
      </c>
    </row>
    <row r="8" spans="2:17" x14ac:dyDescent="0.25">
      <c r="B8" s="1" t="s">
        <v>46</v>
      </c>
      <c r="C8" s="1" t="s">
        <v>49</v>
      </c>
    </row>
    <row r="9" spans="2:17" x14ac:dyDescent="0.25">
      <c r="B9" s="1" t="s">
        <v>46</v>
      </c>
      <c r="C9" s="1" t="s">
        <v>50</v>
      </c>
      <c r="E9" t="s">
        <v>54</v>
      </c>
    </row>
    <row r="10" spans="2:17" x14ac:dyDescent="0.25">
      <c r="B10" s="1" t="s">
        <v>46</v>
      </c>
      <c r="C10" s="1" t="s">
        <v>50</v>
      </c>
      <c r="E10" t="s">
        <v>55</v>
      </c>
      <c r="K10" s="12" t="s">
        <v>61</v>
      </c>
      <c r="L10" s="12" t="s">
        <v>56</v>
      </c>
      <c r="M10" s="12" t="s">
        <v>49</v>
      </c>
      <c r="N10" s="12" t="s">
        <v>48</v>
      </c>
      <c r="O10" s="12" t="s">
        <v>50</v>
      </c>
      <c r="P10" s="12" t="s">
        <v>62</v>
      </c>
    </row>
    <row r="11" spans="2:17" x14ac:dyDescent="0.25">
      <c r="B11" s="1" t="s">
        <v>47</v>
      </c>
      <c r="C11" s="1" t="s">
        <v>48</v>
      </c>
      <c r="L11" s="11" t="s">
        <v>47</v>
      </c>
      <c r="M11">
        <v>6</v>
      </c>
      <c r="N11">
        <v>6</v>
      </c>
      <c r="P11">
        <v>12</v>
      </c>
    </row>
    <row r="12" spans="2:17" x14ac:dyDescent="0.25">
      <c r="B12" s="1" t="s">
        <v>47</v>
      </c>
      <c r="C12" s="1" t="s">
        <v>49</v>
      </c>
      <c r="L12" s="11" t="s">
        <v>46</v>
      </c>
      <c r="M12">
        <v>2</v>
      </c>
      <c r="N12">
        <v>2</v>
      </c>
      <c r="O12">
        <v>4</v>
      </c>
      <c r="P12">
        <v>8</v>
      </c>
    </row>
    <row r="13" spans="2:17" x14ac:dyDescent="0.25">
      <c r="B13" s="1" t="s">
        <v>47</v>
      </c>
      <c r="C13" s="1" t="s">
        <v>49</v>
      </c>
      <c r="L13" s="13" t="s">
        <v>64</v>
      </c>
      <c r="M13" s="14">
        <v>8</v>
      </c>
      <c r="N13" s="14">
        <v>8</v>
      </c>
      <c r="O13" s="14">
        <v>4</v>
      </c>
      <c r="P13" s="14">
        <v>20</v>
      </c>
      <c r="Q13" s="13" t="s">
        <v>57</v>
      </c>
    </row>
    <row r="14" spans="2:17" x14ac:dyDescent="0.25">
      <c r="B14" s="1" t="s">
        <v>46</v>
      </c>
      <c r="C14" s="1" t="s">
        <v>48</v>
      </c>
      <c r="E14" t="s">
        <v>60</v>
      </c>
    </row>
    <row r="15" spans="2:17" x14ac:dyDescent="0.25">
      <c r="B15" s="1" t="s">
        <v>47</v>
      </c>
      <c r="C15" s="1" t="s">
        <v>49</v>
      </c>
    </row>
    <row r="16" spans="2:17" x14ac:dyDescent="0.25">
      <c r="B16" s="1" t="s">
        <v>47</v>
      </c>
      <c r="C16" s="1" t="s">
        <v>48</v>
      </c>
      <c r="K16" s="12" t="s">
        <v>63</v>
      </c>
      <c r="L16" s="12" t="s">
        <v>56</v>
      </c>
      <c r="M16" s="12" t="s">
        <v>49</v>
      </c>
      <c r="N16" s="12" t="s">
        <v>48</v>
      </c>
      <c r="O16" s="12" t="s">
        <v>50</v>
      </c>
      <c r="P16" s="12"/>
    </row>
    <row r="17" spans="2:16" x14ac:dyDescent="0.25">
      <c r="B17" s="1" t="s">
        <v>47</v>
      </c>
      <c r="C17" s="1" t="s">
        <v>48</v>
      </c>
      <c r="L17" s="11" t="s">
        <v>47</v>
      </c>
      <c r="M17">
        <f>P11*M13/P13</f>
        <v>4.8</v>
      </c>
      <c r="N17">
        <f>P11*N13/P13</f>
        <v>4.8</v>
      </c>
      <c r="O17">
        <f>P11*O13/P13</f>
        <v>2.4</v>
      </c>
    </row>
    <row r="18" spans="2:16" x14ac:dyDescent="0.25">
      <c r="B18" s="1" t="s">
        <v>46</v>
      </c>
      <c r="C18" s="1" t="s">
        <v>49</v>
      </c>
      <c r="L18" s="11" t="s">
        <v>46</v>
      </c>
      <c r="M18">
        <f>P12*M13/P13</f>
        <v>3.2</v>
      </c>
      <c r="N18">
        <f>P12*N13/P13</f>
        <v>3.2</v>
      </c>
      <c r="O18">
        <f>P12*O13/P13</f>
        <v>1.6</v>
      </c>
    </row>
    <row r="19" spans="2:16" x14ac:dyDescent="0.25">
      <c r="B19" s="1" t="s">
        <v>46</v>
      </c>
      <c r="C19" s="1" t="s">
        <v>50</v>
      </c>
    </row>
    <row r="20" spans="2:16" x14ac:dyDescent="0.25">
      <c r="B20" s="1" t="s">
        <v>46</v>
      </c>
      <c r="C20" s="1" t="s">
        <v>50</v>
      </c>
      <c r="K20" s="12" t="s">
        <v>65</v>
      </c>
      <c r="L20" s="12" t="s">
        <v>56</v>
      </c>
      <c r="M20" s="12" t="s">
        <v>49</v>
      </c>
      <c r="N20" s="12" t="s">
        <v>48</v>
      </c>
      <c r="O20" s="12" t="s">
        <v>50</v>
      </c>
      <c r="P20" s="12"/>
    </row>
    <row r="21" spans="2:16" x14ac:dyDescent="0.25">
      <c r="B21" s="1" t="s">
        <v>47</v>
      </c>
      <c r="C21" s="1" t="s">
        <v>48</v>
      </c>
      <c r="L21" s="11" t="s">
        <v>47</v>
      </c>
      <c r="M21">
        <f>(M11-M17)^2/M17</f>
        <v>0.3000000000000001</v>
      </c>
      <c r="N21">
        <f t="shared" ref="N21:O22" si="0">(N11-N17)^2/N17</f>
        <v>0.3000000000000001</v>
      </c>
      <c r="O21">
        <f t="shared" si="0"/>
        <v>2.4</v>
      </c>
    </row>
    <row r="22" spans="2:16" x14ac:dyDescent="0.25">
      <c r="B22" s="1" t="s">
        <v>47</v>
      </c>
      <c r="C22" s="1" t="s">
        <v>49</v>
      </c>
      <c r="L22" s="11" t="s">
        <v>46</v>
      </c>
      <c r="M22">
        <f>(M12-M18)^2/M18</f>
        <v>0.45000000000000012</v>
      </c>
      <c r="N22">
        <f t="shared" si="0"/>
        <v>0.45000000000000012</v>
      </c>
      <c r="O22">
        <f t="shared" si="0"/>
        <v>3.5999999999999996</v>
      </c>
    </row>
    <row r="23" spans="2:16" x14ac:dyDescent="0.25">
      <c r="B23" s="1" t="s">
        <v>47</v>
      </c>
      <c r="C23" s="1" t="s">
        <v>49</v>
      </c>
    </row>
    <row r="26" spans="2:16" x14ac:dyDescent="0.25">
      <c r="K26" s="19" t="s">
        <v>67</v>
      </c>
      <c r="L26" s="20"/>
      <c r="M26" s="21"/>
      <c r="N26" s="15">
        <f>SUM(M21:O22)</f>
        <v>7.5</v>
      </c>
    </row>
    <row r="27" spans="2:16" x14ac:dyDescent="0.25">
      <c r="K27" s="19" t="s">
        <v>68</v>
      </c>
      <c r="L27" s="20"/>
      <c r="M27" s="21"/>
      <c r="N27" s="15">
        <v>2</v>
      </c>
      <c r="O27" t="s">
        <v>69</v>
      </c>
    </row>
    <row r="28" spans="2:16" x14ac:dyDescent="0.25">
      <c r="K28" s="19" t="s">
        <v>66</v>
      </c>
      <c r="L28" s="20"/>
      <c r="M28" s="21"/>
      <c r="N28" s="15">
        <f>_xlfn.CHISQ.DIST.RT(N26,N27)</f>
        <v>2.3517745856009107E-2</v>
      </c>
    </row>
  </sheetData>
  <mergeCells count="3">
    <mergeCell ref="K26:M26"/>
    <mergeCell ref="K27:M27"/>
    <mergeCell ref="K28:M28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B95E-FE4D-4B10-8F1B-9046F8FBB3CB}">
  <dimension ref="A1:O43"/>
  <sheetViews>
    <sheetView topLeftCell="A5" workbookViewId="0">
      <selection activeCell="N40" sqref="N40"/>
    </sheetView>
  </sheetViews>
  <sheetFormatPr defaultRowHeight="15" x14ac:dyDescent="0.25"/>
  <cols>
    <col min="1" max="1" width="12" customWidth="1"/>
    <col min="2" max="2" width="11.7109375" customWidth="1"/>
    <col min="3" max="3" width="13.85546875" bestFit="1" customWidth="1"/>
    <col min="5" max="5" width="13.140625" customWidth="1"/>
    <col min="9" max="9" width="19.140625" bestFit="1" customWidth="1"/>
  </cols>
  <sheetData>
    <row r="1" spans="1:6" ht="31.5" x14ac:dyDescent="0.5">
      <c r="B1" s="8" t="s">
        <v>70</v>
      </c>
    </row>
    <row r="2" spans="1:6" x14ac:dyDescent="0.25">
      <c r="F2" t="s">
        <v>75</v>
      </c>
    </row>
    <row r="3" spans="1:6" x14ac:dyDescent="0.25">
      <c r="A3" t="s">
        <v>71</v>
      </c>
      <c r="F3" t="s">
        <v>76</v>
      </c>
    </row>
    <row r="4" spans="1:6" x14ac:dyDescent="0.25">
      <c r="A4" s="1" t="s">
        <v>72</v>
      </c>
      <c r="B4" s="1" t="s">
        <v>73</v>
      </c>
      <c r="C4" s="1" t="s">
        <v>74</v>
      </c>
      <c r="F4" t="s">
        <v>77</v>
      </c>
    </row>
    <row r="5" spans="1:6" x14ac:dyDescent="0.25">
      <c r="A5" s="1">
        <v>210</v>
      </c>
      <c r="B5" s="1">
        <v>210</v>
      </c>
      <c r="C5" s="1">
        <v>180</v>
      </c>
      <c r="F5" t="s">
        <v>78</v>
      </c>
    </row>
    <row r="6" spans="1:6" x14ac:dyDescent="0.25">
      <c r="A6" s="1">
        <v>240</v>
      </c>
      <c r="B6" s="1">
        <v>240</v>
      </c>
      <c r="C6" s="1">
        <v>210</v>
      </c>
      <c r="F6" t="s">
        <v>79</v>
      </c>
    </row>
    <row r="7" spans="1:6" x14ac:dyDescent="0.25">
      <c r="A7" s="1">
        <v>270</v>
      </c>
      <c r="B7" s="1">
        <v>240</v>
      </c>
      <c r="C7" s="1">
        <v>210</v>
      </c>
      <c r="F7" s="16" t="s">
        <v>80</v>
      </c>
    </row>
    <row r="8" spans="1:6" x14ac:dyDescent="0.25">
      <c r="A8" s="1">
        <v>270</v>
      </c>
      <c r="B8" s="1">
        <v>270</v>
      </c>
      <c r="C8" s="1">
        <v>210</v>
      </c>
      <c r="F8" t="s">
        <v>89</v>
      </c>
    </row>
    <row r="9" spans="1:6" x14ac:dyDescent="0.25">
      <c r="A9" s="1">
        <v>300</v>
      </c>
      <c r="B9" s="1">
        <v>270</v>
      </c>
      <c r="C9" s="1">
        <v>240</v>
      </c>
      <c r="F9" t="s">
        <v>90</v>
      </c>
    </row>
    <row r="10" spans="1:6" x14ac:dyDescent="0.25">
      <c r="A10" s="1">
        <v>280</v>
      </c>
      <c r="B10" s="1">
        <v>230</v>
      </c>
      <c r="C10" s="1">
        <v>220</v>
      </c>
      <c r="F10" t="s">
        <v>91</v>
      </c>
    </row>
    <row r="11" spans="1:6" x14ac:dyDescent="0.25">
      <c r="A11" s="1">
        <v>300</v>
      </c>
      <c r="B11" s="1">
        <v>210</v>
      </c>
      <c r="C11" s="1">
        <v>180</v>
      </c>
      <c r="F11" t="s">
        <v>81</v>
      </c>
    </row>
    <row r="12" spans="1:6" x14ac:dyDescent="0.25">
      <c r="A12" s="1">
        <v>250</v>
      </c>
      <c r="B12" s="1">
        <v>240</v>
      </c>
      <c r="C12" s="1">
        <v>230</v>
      </c>
      <c r="F12" s="16" t="s">
        <v>82</v>
      </c>
    </row>
    <row r="13" spans="1:6" x14ac:dyDescent="0.25">
      <c r="A13" s="1">
        <v>260</v>
      </c>
      <c r="B13" s="1">
        <v>260</v>
      </c>
      <c r="C13" s="1">
        <v>200</v>
      </c>
      <c r="F13" t="s">
        <v>92</v>
      </c>
    </row>
    <row r="14" spans="1:6" x14ac:dyDescent="0.25">
      <c r="F14" t="s">
        <v>83</v>
      </c>
    </row>
    <row r="15" spans="1:6" x14ac:dyDescent="0.25">
      <c r="A15" t="s">
        <v>100</v>
      </c>
      <c r="F15" t="s">
        <v>93</v>
      </c>
    </row>
    <row r="16" spans="1:6" x14ac:dyDescent="0.25">
      <c r="A16" s="16" t="s">
        <v>99</v>
      </c>
      <c r="F16" t="s">
        <v>84</v>
      </c>
    </row>
    <row r="17" spans="1:13" x14ac:dyDescent="0.25">
      <c r="A17" t="s">
        <v>101</v>
      </c>
      <c r="F17" t="s">
        <v>85</v>
      </c>
    </row>
    <row r="18" spans="1:13" x14ac:dyDescent="0.25">
      <c r="A18" t="s">
        <v>102</v>
      </c>
      <c r="F18" s="16" t="s">
        <v>86</v>
      </c>
    </row>
    <row r="19" spans="1:13" x14ac:dyDescent="0.25">
      <c r="F19" t="s">
        <v>87</v>
      </c>
    </row>
    <row r="20" spans="1:13" x14ac:dyDescent="0.25">
      <c r="A20" s="16" t="s">
        <v>103</v>
      </c>
      <c r="F20" t="s">
        <v>94</v>
      </c>
    </row>
    <row r="21" spans="1:13" x14ac:dyDescent="0.25">
      <c r="A21" t="s">
        <v>104</v>
      </c>
      <c r="F21" t="s">
        <v>88</v>
      </c>
    </row>
    <row r="22" spans="1:13" x14ac:dyDescent="0.25">
      <c r="A22" t="s">
        <v>105</v>
      </c>
      <c r="F22" t="s">
        <v>95</v>
      </c>
    </row>
    <row r="23" spans="1:13" x14ac:dyDescent="0.25">
      <c r="A23" t="s">
        <v>106</v>
      </c>
    </row>
    <row r="24" spans="1:13" x14ac:dyDescent="0.25">
      <c r="A24" t="s">
        <v>107</v>
      </c>
      <c r="F24" t="s">
        <v>96</v>
      </c>
    </row>
    <row r="25" spans="1:13" x14ac:dyDescent="0.25">
      <c r="F25" t="s">
        <v>97</v>
      </c>
    </row>
    <row r="26" spans="1:13" x14ac:dyDescent="0.25">
      <c r="A26" s="17" t="s">
        <v>108</v>
      </c>
      <c r="B26" s="17"/>
      <c r="C26" s="17"/>
      <c r="D26" s="17"/>
    </row>
    <row r="27" spans="1:13" x14ac:dyDescent="0.25">
      <c r="A27" s="4" t="s">
        <v>122</v>
      </c>
    </row>
    <row r="28" spans="1:13" x14ac:dyDescent="0.25">
      <c r="A28" t="s">
        <v>6</v>
      </c>
    </row>
    <row r="29" spans="1:13" x14ac:dyDescent="0.25">
      <c r="I29" t="s">
        <v>109</v>
      </c>
    </row>
    <row r="31" spans="1:13" ht="15.75" thickBot="1" x14ac:dyDescent="0.3">
      <c r="I31" t="s">
        <v>110</v>
      </c>
    </row>
    <row r="32" spans="1:13" x14ac:dyDescent="0.25">
      <c r="I32" s="3" t="s">
        <v>111</v>
      </c>
      <c r="J32" s="3" t="s">
        <v>112</v>
      </c>
      <c r="K32" s="3" t="s">
        <v>113</v>
      </c>
      <c r="L32" s="3" t="s">
        <v>114</v>
      </c>
      <c r="M32" s="3" t="s">
        <v>14</v>
      </c>
    </row>
    <row r="33" spans="9:15" x14ac:dyDescent="0.25">
      <c r="I33" t="s">
        <v>72</v>
      </c>
      <c r="J33">
        <v>9</v>
      </c>
      <c r="K33">
        <v>2380</v>
      </c>
      <c r="L33">
        <v>264.44444444444446</v>
      </c>
      <c r="M33">
        <v>827.77777777778101</v>
      </c>
    </row>
    <row r="34" spans="9:15" x14ac:dyDescent="0.25">
      <c r="I34" t="s">
        <v>73</v>
      </c>
      <c r="J34">
        <v>9</v>
      </c>
      <c r="K34">
        <v>2170</v>
      </c>
      <c r="L34">
        <v>241.11111111111111</v>
      </c>
      <c r="M34">
        <v>511.11111111111103</v>
      </c>
    </row>
    <row r="35" spans="9:15" ht="15.75" thickBot="1" x14ac:dyDescent="0.3">
      <c r="I35" s="2" t="s">
        <v>74</v>
      </c>
      <c r="J35" s="2">
        <v>9</v>
      </c>
      <c r="K35" s="2">
        <v>1880</v>
      </c>
      <c r="L35" s="2">
        <v>208.88888888888889</v>
      </c>
      <c r="M35" s="2">
        <v>411.11111111111109</v>
      </c>
    </row>
    <row r="38" spans="9:15" ht="15.75" thickBot="1" x14ac:dyDescent="0.3">
      <c r="I38" t="s">
        <v>70</v>
      </c>
    </row>
    <row r="39" spans="9:15" x14ac:dyDescent="0.25">
      <c r="I39" s="3" t="s">
        <v>115</v>
      </c>
      <c r="J39" s="3" t="s">
        <v>98</v>
      </c>
      <c r="K39" s="3" t="s">
        <v>17</v>
      </c>
      <c r="L39" s="3" t="s">
        <v>116</v>
      </c>
      <c r="M39" s="3" t="s">
        <v>47</v>
      </c>
      <c r="N39" s="3" t="s">
        <v>117</v>
      </c>
      <c r="O39" s="3" t="s">
        <v>118</v>
      </c>
    </row>
    <row r="40" spans="9:15" x14ac:dyDescent="0.25">
      <c r="I40" t="s">
        <v>119</v>
      </c>
      <c r="J40">
        <v>14007.407407407405</v>
      </c>
      <c r="K40">
        <v>2</v>
      </c>
      <c r="L40">
        <v>7003.7037037037026</v>
      </c>
      <c r="M40">
        <v>12.006349206349203</v>
      </c>
      <c r="N40" s="18">
        <v>2.4336690651033204E-4</v>
      </c>
      <c r="O40">
        <v>3.4028261053501945</v>
      </c>
    </row>
    <row r="41" spans="9:15" x14ac:dyDescent="0.25">
      <c r="I41" t="s">
        <v>120</v>
      </c>
      <c r="J41">
        <v>14000</v>
      </c>
      <c r="K41">
        <v>24</v>
      </c>
      <c r="L41">
        <v>583.33333333333337</v>
      </c>
    </row>
    <row r="43" spans="9:15" ht="15.75" thickBot="1" x14ac:dyDescent="0.3">
      <c r="I43" s="2" t="s">
        <v>121</v>
      </c>
      <c r="J43" s="2">
        <v>28007.407407407405</v>
      </c>
      <c r="K43" s="2">
        <v>26</v>
      </c>
      <c r="L43" s="2"/>
      <c r="M43" s="2"/>
      <c r="N43" s="2"/>
      <c r="O4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1527-AD71-443F-AC19-878EFE204C49}">
  <dimension ref="A1:H30"/>
  <sheetViews>
    <sheetView tabSelected="1" workbookViewId="0">
      <selection activeCell="J34" sqref="J34"/>
    </sheetView>
  </sheetViews>
  <sheetFormatPr defaultRowHeight="15" x14ac:dyDescent="0.25"/>
  <sheetData>
    <row r="1" spans="2:8" x14ac:dyDescent="0.25">
      <c r="B1" t="s">
        <v>123</v>
      </c>
      <c r="H1" s="16" t="s">
        <v>128</v>
      </c>
    </row>
    <row r="2" spans="2:8" x14ac:dyDescent="0.25">
      <c r="H2" t="s">
        <v>129</v>
      </c>
    </row>
    <row r="3" spans="2:8" x14ac:dyDescent="0.25">
      <c r="B3" s="1" t="s">
        <v>124</v>
      </c>
      <c r="C3" s="1" t="s">
        <v>125</v>
      </c>
      <c r="E3" s="1" t="s">
        <v>126</v>
      </c>
      <c r="F3" s="1" t="s">
        <v>127</v>
      </c>
      <c r="H3" t="s">
        <v>130</v>
      </c>
    </row>
    <row r="4" spans="2:8" x14ac:dyDescent="0.25">
      <c r="B4" s="1">
        <v>171</v>
      </c>
      <c r="C4" s="1">
        <v>80</v>
      </c>
      <c r="E4" s="1">
        <v>23</v>
      </c>
      <c r="F4" s="1">
        <v>10200</v>
      </c>
      <c r="H4" t="s">
        <v>131</v>
      </c>
    </row>
    <row r="5" spans="2:8" x14ac:dyDescent="0.25">
      <c r="B5" s="1">
        <v>170</v>
      </c>
      <c r="C5" s="1">
        <v>80</v>
      </c>
      <c r="E5" s="1">
        <v>24</v>
      </c>
      <c r="F5" s="1">
        <v>18000</v>
      </c>
      <c r="H5" t="s">
        <v>132</v>
      </c>
    </row>
    <row r="6" spans="2:8" x14ac:dyDescent="0.25">
      <c r="B6" s="1">
        <v>165</v>
      </c>
      <c r="C6" s="1">
        <v>70</v>
      </c>
      <c r="E6" s="1">
        <v>31</v>
      </c>
      <c r="F6" s="1">
        <v>45000</v>
      </c>
      <c r="H6" t="s">
        <v>133</v>
      </c>
    </row>
    <row r="7" spans="2:8" x14ac:dyDescent="0.25">
      <c r="B7" s="1">
        <v>180</v>
      </c>
      <c r="C7" s="1">
        <v>91</v>
      </c>
      <c r="E7" s="1">
        <v>34</v>
      </c>
      <c r="F7" s="1">
        <v>80000</v>
      </c>
      <c r="H7" t="s">
        <v>134</v>
      </c>
    </row>
    <row r="8" spans="2:8" x14ac:dyDescent="0.25">
      <c r="B8" s="1">
        <v>182</v>
      </c>
      <c r="C8" s="1">
        <v>92</v>
      </c>
      <c r="E8" s="1">
        <v>24</v>
      </c>
      <c r="F8" s="1">
        <v>12000</v>
      </c>
    </row>
    <row r="9" spans="2:8" x14ac:dyDescent="0.25">
      <c r="B9" s="1">
        <v>172</v>
      </c>
      <c r="C9" s="1">
        <v>81</v>
      </c>
      <c r="E9" s="1">
        <v>22</v>
      </c>
      <c r="F9" s="1">
        <v>8000</v>
      </c>
      <c r="H9" s="16" t="s">
        <v>135</v>
      </c>
    </row>
    <row r="10" spans="2:8" x14ac:dyDescent="0.25">
      <c r="B10" s="1">
        <v>156</v>
      </c>
      <c r="C10" s="1">
        <v>65</v>
      </c>
      <c r="E10" s="1">
        <v>35</v>
      </c>
      <c r="F10" s="1">
        <v>92000</v>
      </c>
      <c r="H10" t="s">
        <v>136</v>
      </c>
    </row>
    <row r="11" spans="2:8" x14ac:dyDescent="0.25">
      <c r="B11" s="1">
        <v>140</v>
      </c>
      <c r="C11" s="1">
        <v>61</v>
      </c>
      <c r="E11" s="1">
        <v>27</v>
      </c>
      <c r="F11" s="1">
        <v>20000</v>
      </c>
      <c r="H11" t="s">
        <v>137</v>
      </c>
    </row>
    <row r="12" spans="2:8" x14ac:dyDescent="0.25">
      <c r="B12" s="1">
        <v>180</v>
      </c>
      <c r="C12" s="1">
        <v>91</v>
      </c>
      <c r="E12" s="1">
        <v>21</v>
      </c>
      <c r="F12" s="1">
        <v>12000</v>
      </c>
      <c r="H12" t="s">
        <v>131</v>
      </c>
    </row>
    <row r="13" spans="2:8" x14ac:dyDescent="0.25">
      <c r="B13" s="1">
        <v>170</v>
      </c>
      <c r="C13" s="1">
        <v>85</v>
      </c>
      <c r="E13" s="1">
        <v>39</v>
      </c>
      <c r="F13" s="1">
        <v>140000</v>
      </c>
      <c r="H13" t="s">
        <v>138</v>
      </c>
    </row>
    <row r="14" spans="2:8" x14ac:dyDescent="0.25">
      <c r="H14" t="s">
        <v>139</v>
      </c>
    </row>
    <row r="15" spans="2:8" x14ac:dyDescent="0.25">
      <c r="H15" t="s">
        <v>140</v>
      </c>
    </row>
    <row r="16" spans="2:8" x14ac:dyDescent="0.25">
      <c r="H16" t="s">
        <v>141</v>
      </c>
    </row>
    <row r="17" spans="1:8" x14ac:dyDescent="0.25">
      <c r="H17" t="s">
        <v>142</v>
      </c>
    </row>
    <row r="18" spans="1:8" x14ac:dyDescent="0.25">
      <c r="H18" t="s">
        <v>143</v>
      </c>
    </row>
    <row r="20" spans="1:8" x14ac:dyDescent="0.25">
      <c r="H20" s="16" t="s">
        <v>144</v>
      </c>
    </row>
    <row r="21" spans="1:8" x14ac:dyDescent="0.25">
      <c r="H21" t="s">
        <v>145</v>
      </c>
    </row>
    <row r="22" spans="1:8" x14ac:dyDescent="0.25">
      <c r="H22" t="s">
        <v>146</v>
      </c>
    </row>
    <row r="25" spans="1:8" ht="15.75" thickBot="1" x14ac:dyDescent="0.3"/>
    <row r="26" spans="1:8" x14ac:dyDescent="0.25">
      <c r="A26" s="24"/>
      <c r="B26" s="24" t="s">
        <v>124</v>
      </c>
      <c r="C26" s="24" t="s">
        <v>125</v>
      </c>
      <c r="E26" s="24"/>
      <c r="F26" s="24" t="s">
        <v>126</v>
      </c>
      <c r="G26" s="24" t="s">
        <v>127</v>
      </c>
    </row>
    <row r="27" spans="1:8" x14ac:dyDescent="0.25">
      <c r="A27" s="22" t="s">
        <v>124</v>
      </c>
      <c r="B27" s="22">
        <v>1</v>
      </c>
      <c r="C27" s="22"/>
      <c r="E27" s="22" t="s">
        <v>126</v>
      </c>
      <c r="F27" s="22">
        <v>1</v>
      </c>
      <c r="G27" s="22"/>
    </row>
    <row r="28" spans="1:8" ht="15.75" thickBot="1" x14ac:dyDescent="0.3">
      <c r="A28" s="23" t="s">
        <v>125</v>
      </c>
      <c r="B28" s="23">
        <v>0.94398373028210592</v>
      </c>
      <c r="C28" s="23">
        <v>1</v>
      </c>
      <c r="E28" s="23" t="s">
        <v>127</v>
      </c>
      <c r="F28" s="23">
        <v>0.96068868037662647</v>
      </c>
      <c r="G28" s="23">
        <v>1</v>
      </c>
    </row>
    <row r="30" spans="1:8" x14ac:dyDescent="0.25">
      <c r="B30">
        <f>CORREL(B4:B13,C4:C13)</f>
        <v>0.94398373028210592</v>
      </c>
      <c r="F30">
        <f>CORREL(E4:E13,F4:F13)</f>
        <v>0.96068868037662647</v>
      </c>
      <c r="H30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T-Test</vt:lpstr>
      <vt:lpstr>Z-test</vt:lpstr>
      <vt:lpstr>Chi Square Test</vt:lpstr>
      <vt:lpstr>ANOVA</vt:lpstr>
      <vt:lpstr>Corelattion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Saha</dc:creator>
  <cp:lastModifiedBy>Amit Saha</cp:lastModifiedBy>
  <dcterms:created xsi:type="dcterms:W3CDTF">2015-06-05T18:17:20Z</dcterms:created>
  <dcterms:modified xsi:type="dcterms:W3CDTF">2025-08-23T17:08:23Z</dcterms:modified>
</cp:coreProperties>
</file>